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-Do List" sheetId="1" state="visible" r:id="rId3"/>
    <sheet name="Weekly Progress" sheetId="2" state="visible" r:id="rId4"/>
  </sheets>
  <definedNames>
    <definedName function="false" hidden="false" localSheetId="0" name="_xlnm.Print_Titles" vbProcedure="false">'To-Do List'!$7:$7</definedName>
    <definedName function="false" hidden="true" localSheetId="0" name="_xlnm._FilterDatabase" vbProcedure="false">'To-Do List'!$A$7:$F$69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<sst xmlns="http://schemas.openxmlformats.org/spreadsheetml/2006/main" count="263" uniqueCount="90">
  <si>
    <t xml:space="preserve">Hospital Management System (HMS) — 10-Week To-Do List</t>
  </si>
  <si>
    <t xml:space="preserve">Set Status for each task as you complete it — Priority and Notes are editable.</t>
  </si>
  <si>
    <t xml:space="preserve">Overall Progress:</t>
  </si>
  <si>
    <t xml:space="preserve">Week</t>
  </si>
  <si>
    <t xml:space="preserve">Phase</t>
  </si>
  <si>
    <t xml:space="preserve">Task</t>
  </si>
  <si>
    <t xml:space="preserve">Priority</t>
  </si>
  <si>
    <t xml:space="preserve">Status</t>
  </si>
  <si>
    <t xml:space="preserve">Notes</t>
  </si>
  <si>
    <t xml:space="preserve">Planning &amp; Requirement Analysis</t>
  </si>
  <si>
    <t xml:space="preserve">Study the problem domain and current hospital workflows</t>
  </si>
  <si>
    <t xml:space="preserve">Medium</t>
  </si>
  <si>
    <t xml:space="preserve">Not Started</t>
  </si>
  <si>
    <t xml:space="preserve">Finalise functional requirements from the specification document</t>
  </si>
  <si>
    <t xml:space="preserve">High</t>
  </si>
  <si>
    <t xml:space="preserve">Finalise non-functional requirements from the specification document</t>
  </si>
  <si>
    <t xml:space="preserve">Define project scope and objectives</t>
  </si>
  <si>
    <t xml:space="preserve">Set up project management board (Trello/Notion/GitHub Projects)</t>
  </si>
  <si>
    <t xml:space="preserve">Create GitHub repository and project structure</t>
  </si>
  <si>
    <t xml:space="preserve">System Design</t>
  </si>
  <si>
    <t xml:space="preserve">Design the 4-layer system architecture</t>
  </si>
  <si>
    <t xml:space="preserve">Design the database schema / ERD for all modules</t>
  </si>
  <si>
    <t xml:space="preserve">Create Figma wireframes for the dashboard</t>
  </si>
  <si>
    <t xml:space="preserve">Create Figma wireframes for patient, appointment and billing screens</t>
  </si>
  <si>
    <t xml:space="preserve">Review design with supervisor/mentor and revise</t>
  </si>
  <si>
    <t xml:space="preserve">Environment Setup &amp; User Management</t>
  </si>
  <si>
    <t xml:space="preserve">Set up development environment (IDE, server, database)</t>
  </si>
  <si>
    <t xml:space="preserve">Configure Git/GitHub branching workflow</t>
  </si>
  <si>
    <t xml:space="preserve">Implement login and logout</t>
  </si>
  <si>
    <t xml:space="preserve">Implement password management</t>
  </si>
  <si>
    <t xml:space="preserve">Implement user roles and role-based access control</t>
  </si>
  <si>
    <t xml:space="preserve">Test the authentication module</t>
  </si>
  <si>
    <t xml:space="preserve">Patient Management Module</t>
  </si>
  <si>
    <t xml:space="preserve">Build patient registration form</t>
  </si>
  <si>
    <t xml:space="preserve">Build update/edit patient information</t>
  </si>
  <si>
    <t xml:space="preserve">Build search patient feature</t>
  </si>
  <si>
    <t xml:space="preserve">Build view medical history feature</t>
  </si>
  <si>
    <t xml:space="preserve">Build document upload feature</t>
  </si>
  <si>
    <t xml:space="preserve">Low</t>
  </si>
  <si>
    <t xml:space="preserve">Test the Patient Management module</t>
  </si>
  <si>
    <t xml:space="preserve">Doctor &amp; Appointment Management</t>
  </si>
  <si>
    <t xml:space="preserve">Build doctor registration and profile screens</t>
  </si>
  <si>
    <t xml:space="preserve">Build doctor schedule management</t>
  </si>
  <si>
    <t xml:space="preserve">Build appointment booking</t>
  </si>
  <si>
    <t xml:space="preserve">Build appointment cancel/reschedule</t>
  </si>
  <si>
    <t xml:space="preserve">Build appointment status tracking</t>
  </si>
  <si>
    <t xml:space="preserve">Test Doctor &amp; Appointment modules</t>
  </si>
  <si>
    <t xml:space="preserve">Electronic Medical Records &amp; Laboratory</t>
  </si>
  <si>
    <t xml:space="preserve">Build diagnosis entry screen</t>
  </si>
  <si>
    <t xml:space="preserve">Build prescription entry screen</t>
  </si>
  <si>
    <t xml:space="preserve">Build treatment history view</t>
  </si>
  <si>
    <t xml:space="preserve">Build lab test request feature</t>
  </si>
  <si>
    <t xml:space="preserve">Build sample tracking feature</t>
  </si>
  <si>
    <t xml:space="preserve">Build lab result entry and report generation</t>
  </si>
  <si>
    <t xml:space="preserve">Test EMR &amp; Laboratory modules</t>
  </si>
  <si>
    <t xml:space="preserve">Pharmacy &amp; Billing</t>
  </si>
  <si>
    <t xml:space="preserve">Build medicine inventory management</t>
  </si>
  <si>
    <t xml:space="preserve">Build stock management</t>
  </si>
  <si>
    <t xml:space="preserve">Build expiry monitoring/alerts</t>
  </si>
  <si>
    <t xml:space="preserve">Build prescription processing (pharmacy side)</t>
  </si>
  <si>
    <t xml:space="preserve">Build billing and invoice generation</t>
  </si>
  <si>
    <t xml:space="preserve">Build payment recording</t>
  </si>
  <si>
    <t xml:space="preserve">Test Pharmacy &amp; Billing modules</t>
  </si>
  <si>
    <t xml:space="preserve">Staff Management &amp; Reports</t>
  </si>
  <si>
    <t xml:space="preserve">Build employee registration</t>
  </si>
  <si>
    <t xml:space="preserve">Build attendance tracking</t>
  </si>
  <si>
    <t xml:space="preserve">Build leave records</t>
  </si>
  <si>
    <t xml:space="preserve">Build dashboard with key metrics</t>
  </si>
  <si>
    <t xml:space="preserve">Build reports (patient, revenue, pharmacy, lab, staff)</t>
  </si>
  <si>
    <t xml:space="preserve">Test Staff Management &amp; Reports modules</t>
  </si>
  <si>
    <t xml:space="preserve">Integration, Testing &amp; Security</t>
  </si>
  <si>
    <t xml:space="preserve">Integrate all modules together</t>
  </si>
  <si>
    <t xml:space="preserve">Perform unit testing</t>
  </si>
  <si>
    <t xml:space="preserve">Perform integration testing</t>
  </si>
  <si>
    <t xml:space="preserve">Perform system testing</t>
  </si>
  <si>
    <t xml:space="preserve">Fix bugs identified during testing</t>
  </si>
  <si>
    <t xml:space="preserve">Apply security measures (encryption, session timeout, audit logs)</t>
  </si>
  <si>
    <t xml:space="preserve">Test backup and recovery</t>
  </si>
  <si>
    <t xml:space="preserve">Deployment &amp; Documentation</t>
  </si>
  <si>
    <t xml:space="preserve">Deploy the system to server/hosting</t>
  </si>
  <si>
    <t xml:space="preserve">Prepare user manual</t>
  </si>
  <si>
    <t xml:space="preserve">Prepare technical documentation</t>
  </si>
  <si>
    <t xml:space="preserve">Conduct user acceptance testing (UAT)</t>
  </si>
  <si>
    <t xml:space="preserve">Prepare final presentation slides</t>
  </si>
  <si>
    <t xml:space="preserve">Submit final project report</t>
  </si>
  <si>
    <t xml:space="preserve">Weekly Progress Summary</t>
  </si>
  <si>
    <t xml:space="preserve">Total Tasks</t>
  </si>
  <si>
    <t xml:space="preserve">Done</t>
  </si>
  <si>
    <t xml:space="preserve">% Complete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</si>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</sst>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1"/>
      <color rgb="FF0F6B7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sz val="10"/>
      <color rgb="FF1F3864"/>
      <name val="Calibri"/>
      <family val="0"/>
      <charset val="1"/>
    </font>
    <font>
      <sz val="10"/>
      <color rgb="FF262626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EAF1F1"/>
      </patternFill>
    </fill>
    <fill>
      <patternFill patternType="solid">
        <fgColor rgb="FFEAF1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1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262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65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F6B72"/>
      <rgbColor rgb="FFBFBFBF"/>
      <rgbColor rgb="FF808080"/>
      <rgbColor rgb="FF9999FF"/>
      <rgbColor rgb="FF993366"/>
      <rgbColor rgb="FFEAF1F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6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48"/>
    <col collapsed="false" customWidth="true" hidden="false" outlineLevel="0" max="4" min="4" style="0" width="11"/>
    <col collapsed="false" customWidth="true" hidden="false" outlineLevel="0" max="5" min="5" style="0" width="14"/>
    <col collapsed="false" customWidth="true" hidden="false" outlineLevel="0" max="6" min="6" style="0" width="2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/>
      <c r="C4" s="4" t="str">
        <f aca="false">COUNTIF(E8:E69,"Done")&amp;" of "&amp;COUNTA(E8:E69)&amp;" tasks done ("&amp;TEXT(COUNTIF(E8:E69,"Done")/COUNTA(E8:E69),"0%")&amp;")"</f>
        <v>0 of 62 tasks done (0%)</v>
      </c>
      <c r="D4" s="4"/>
      <c r="E4" s="4"/>
      <c r="F4" s="4"/>
    </row>
    <row r="7" customFormat="false" ht="19.5" hidden="false" customHeight="true" outlineLevel="0" collapsed="false">
      <c r="A7" s="5" t="s">
        <v>3</v>
      </c>
      <c r="B7" s="5" t="s">
        <v>4</v>
      </c>
      <c r="C7" s="5" t="s">
        <v>5</v>
      </c>
      <c r="D7" s="5" t="s">
        <v>6</v>
      </c>
      <c r="E7" s="5" t="s">
        <v>7</v>
      </c>
      <c r="F7" s="5" t="s">
        <v>8</v>
      </c>
    </row>
    <row r="8" customFormat="false" ht="30" hidden="false" customHeight="true" outlineLevel="0" collapsed="false">
      <c r="A8" s="6" t="n">
        <v>1</v>
      </c>
      <c r="B8" s="7" t="s">
        <v>9</v>
      </c>
      <c r="C8" s="8" t="s">
        <v>10</v>
      </c>
      <c r="D8" s="9" t="s">
        <v>11</v>
      </c>
      <c r="E8" s="9" t="s">
        <v>12</v>
      </c>
      <c r="F8" s="8"/>
    </row>
    <row r="9" customFormat="false" ht="30" hidden="false" customHeight="true" outlineLevel="0" collapsed="false">
      <c r="A9" s="6" t="n">
        <v>1</v>
      </c>
      <c r="B9" s="7" t="s">
        <v>9</v>
      </c>
      <c r="C9" s="8" t="s">
        <v>13</v>
      </c>
      <c r="D9" s="9" t="s">
        <v>14</v>
      </c>
      <c r="E9" s="9" t="s">
        <v>12</v>
      </c>
      <c r="F9" s="8"/>
    </row>
    <row r="10" customFormat="false" ht="30" hidden="false" customHeight="true" outlineLevel="0" collapsed="false">
      <c r="A10" s="6" t="n">
        <v>1</v>
      </c>
      <c r="B10" s="7" t="s">
        <v>9</v>
      </c>
      <c r="C10" s="8" t="s">
        <v>15</v>
      </c>
      <c r="D10" s="9" t="s">
        <v>14</v>
      </c>
      <c r="E10" s="9" t="s">
        <v>12</v>
      </c>
      <c r="F10" s="8"/>
    </row>
    <row r="11" customFormat="false" ht="30" hidden="false" customHeight="true" outlineLevel="0" collapsed="false">
      <c r="A11" s="6" t="n">
        <v>1</v>
      </c>
      <c r="B11" s="7" t="s">
        <v>9</v>
      </c>
      <c r="C11" s="8" t="s">
        <v>16</v>
      </c>
      <c r="D11" s="9" t="s">
        <v>14</v>
      </c>
      <c r="E11" s="9" t="s">
        <v>12</v>
      </c>
      <c r="F11" s="8"/>
    </row>
    <row r="12" customFormat="false" ht="30" hidden="false" customHeight="true" outlineLevel="0" collapsed="false">
      <c r="A12" s="6" t="n">
        <v>1</v>
      </c>
      <c r="B12" s="7" t="s">
        <v>9</v>
      </c>
      <c r="C12" s="8" t="s">
        <v>17</v>
      </c>
      <c r="D12" s="9" t="s">
        <v>11</v>
      </c>
      <c r="E12" s="9" t="s">
        <v>12</v>
      </c>
      <c r="F12" s="8"/>
    </row>
    <row r="13" customFormat="false" ht="30" hidden="false" customHeight="true" outlineLevel="0" collapsed="false">
      <c r="A13" s="6" t="n">
        <v>1</v>
      </c>
      <c r="B13" s="7" t="s">
        <v>9</v>
      </c>
      <c r="C13" s="8" t="s">
        <v>18</v>
      </c>
      <c r="D13" s="9" t="s">
        <v>11</v>
      </c>
      <c r="E13" s="9" t="s">
        <v>12</v>
      </c>
      <c r="F13" s="8"/>
    </row>
    <row r="14" customFormat="false" ht="30" hidden="false" customHeight="true" outlineLevel="0" collapsed="false">
      <c r="A14" s="10" t="n">
        <v>2</v>
      </c>
      <c r="B14" s="11" t="s">
        <v>19</v>
      </c>
      <c r="C14" s="12" t="s">
        <v>20</v>
      </c>
      <c r="D14" s="13" t="s">
        <v>14</v>
      </c>
      <c r="E14" s="13" t="s">
        <v>12</v>
      </c>
      <c r="F14" s="12"/>
    </row>
    <row r="15" customFormat="false" ht="30" hidden="false" customHeight="true" outlineLevel="0" collapsed="false">
      <c r="A15" s="10" t="n">
        <v>2</v>
      </c>
      <c r="B15" s="11" t="s">
        <v>19</v>
      </c>
      <c r="C15" s="12" t="s">
        <v>21</v>
      </c>
      <c r="D15" s="13" t="s">
        <v>14</v>
      </c>
      <c r="E15" s="13" t="s">
        <v>12</v>
      </c>
      <c r="F15" s="12"/>
    </row>
    <row r="16" customFormat="false" ht="30" hidden="false" customHeight="true" outlineLevel="0" collapsed="false">
      <c r="A16" s="10" t="n">
        <v>2</v>
      </c>
      <c r="B16" s="11" t="s">
        <v>19</v>
      </c>
      <c r="C16" s="12" t="s">
        <v>22</v>
      </c>
      <c r="D16" s="13" t="s">
        <v>11</v>
      </c>
      <c r="E16" s="13" t="s">
        <v>12</v>
      </c>
      <c r="F16" s="12"/>
    </row>
    <row r="17" customFormat="false" ht="30" hidden="false" customHeight="true" outlineLevel="0" collapsed="false">
      <c r="A17" s="10" t="n">
        <v>2</v>
      </c>
      <c r="B17" s="11" t="s">
        <v>19</v>
      </c>
      <c r="C17" s="12" t="s">
        <v>23</v>
      </c>
      <c r="D17" s="13" t="s">
        <v>11</v>
      </c>
      <c r="E17" s="13" t="s">
        <v>12</v>
      </c>
      <c r="F17" s="12"/>
    </row>
    <row r="18" customFormat="false" ht="30" hidden="false" customHeight="true" outlineLevel="0" collapsed="false">
      <c r="A18" s="10" t="n">
        <v>2</v>
      </c>
      <c r="B18" s="11" t="s">
        <v>19</v>
      </c>
      <c r="C18" s="12" t="s">
        <v>24</v>
      </c>
      <c r="D18" s="13" t="s">
        <v>11</v>
      </c>
      <c r="E18" s="13" t="s">
        <v>12</v>
      </c>
      <c r="F18" s="12"/>
    </row>
    <row r="19" customFormat="false" ht="30" hidden="false" customHeight="true" outlineLevel="0" collapsed="false">
      <c r="A19" s="6" t="n">
        <v>3</v>
      </c>
      <c r="B19" s="7" t="s">
        <v>25</v>
      </c>
      <c r="C19" s="8" t="s">
        <v>26</v>
      </c>
      <c r="D19" s="9" t="s">
        <v>14</v>
      </c>
      <c r="E19" s="9" t="s">
        <v>12</v>
      </c>
      <c r="F19" s="8"/>
    </row>
    <row r="20" customFormat="false" ht="30" hidden="false" customHeight="true" outlineLevel="0" collapsed="false">
      <c r="A20" s="6" t="n">
        <v>3</v>
      </c>
      <c r="B20" s="7" t="s">
        <v>25</v>
      </c>
      <c r="C20" s="8" t="s">
        <v>27</v>
      </c>
      <c r="D20" s="9" t="s">
        <v>11</v>
      </c>
      <c r="E20" s="9" t="s">
        <v>12</v>
      </c>
      <c r="F20" s="8"/>
    </row>
    <row r="21" customFormat="false" ht="30" hidden="false" customHeight="true" outlineLevel="0" collapsed="false">
      <c r="A21" s="6" t="n">
        <v>3</v>
      </c>
      <c r="B21" s="7" t="s">
        <v>25</v>
      </c>
      <c r="C21" s="8" t="s">
        <v>28</v>
      </c>
      <c r="D21" s="9" t="s">
        <v>14</v>
      </c>
      <c r="E21" s="9" t="s">
        <v>12</v>
      </c>
      <c r="F21" s="8"/>
    </row>
    <row r="22" customFormat="false" ht="30" hidden="false" customHeight="true" outlineLevel="0" collapsed="false">
      <c r="A22" s="6" t="n">
        <v>3</v>
      </c>
      <c r="B22" s="7" t="s">
        <v>25</v>
      </c>
      <c r="C22" s="8" t="s">
        <v>29</v>
      </c>
      <c r="D22" s="9" t="s">
        <v>11</v>
      </c>
      <c r="E22" s="9" t="s">
        <v>12</v>
      </c>
      <c r="F22" s="8"/>
    </row>
    <row r="23" customFormat="false" ht="30" hidden="false" customHeight="true" outlineLevel="0" collapsed="false">
      <c r="A23" s="6" t="n">
        <v>3</v>
      </c>
      <c r="B23" s="7" t="s">
        <v>25</v>
      </c>
      <c r="C23" s="8" t="s">
        <v>30</v>
      </c>
      <c r="D23" s="9" t="s">
        <v>14</v>
      </c>
      <c r="E23" s="9" t="s">
        <v>12</v>
      </c>
      <c r="F23" s="8"/>
    </row>
    <row r="24" customFormat="false" ht="30" hidden="false" customHeight="true" outlineLevel="0" collapsed="false">
      <c r="A24" s="6" t="n">
        <v>3</v>
      </c>
      <c r="B24" s="7" t="s">
        <v>25</v>
      </c>
      <c r="C24" s="8" t="s">
        <v>31</v>
      </c>
      <c r="D24" s="9" t="s">
        <v>11</v>
      </c>
      <c r="E24" s="9" t="s">
        <v>12</v>
      </c>
      <c r="F24" s="8"/>
    </row>
    <row r="25" customFormat="false" ht="30" hidden="false" customHeight="true" outlineLevel="0" collapsed="false">
      <c r="A25" s="10" t="n">
        <v>4</v>
      </c>
      <c r="B25" s="11" t="s">
        <v>32</v>
      </c>
      <c r="C25" s="12" t="s">
        <v>33</v>
      </c>
      <c r="D25" s="13" t="s">
        <v>14</v>
      </c>
      <c r="E25" s="13" t="s">
        <v>12</v>
      </c>
      <c r="F25" s="12"/>
    </row>
    <row r="26" customFormat="false" ht="30" hidden="false" customHeight="true" outlineLevel="0" collapsed="false">
      <c r="A26" s="10" t="n">
        <v>4</v>
      </c>
      <c r="B26" s="11" t="s">
        <v>32</v>
      </c>
      <c r="C26" s="12" t="s">
        <v>34</v>
      </c>
      <c r="D26" s="13" t="s">
        <v>11</v>
      </c>
      <c r="E26" s="13" t="s">
        <v>12</v>
      </c>
      <c r="F26" s="12"/>
    </row>
    <row r="27" customFormat="false" ht="30" hidden="false" customHeight="true" outlineLevel="0" collapsed="false">
      <c r="A27" s="10" t="n">
        <v>4</v>
      </c>
      <c r="B27" s="11" t="s">
        <v>32</v>
      </c>
      <c r="C27" s="12" t="s">
        <v>35</v>
      </c>
      <c r="D27" s="13" t="s">
        <v>11</v>
      </c>
      <c r="E27" s="13" t="s">
        <v>12</v>
      </c>
      <c r="F27" s="12"/>
    </row>
    <row r="28" customFormat="false" ht="30" hidden="false" customHeight="true" outlineLevel="0" collapsed="false">
      <c r="A28" s="10" t="n">
        <v>4</v>
      </c>
      <c r="B28" s="11" t="s">
        <v>32</v>
      </c>
      <c r="C28" s="12" t="s">
        <v>36</v>
      </c>
      <c r="D28" s="13" t="s">
        <v>11</v>
      </c>
      <c r="E28" s="13" t="s">
        <v>12</v>
      </c>
      <c r="F28" s="12"/>
    </row>
    <row r="29" customFormat="false" ht="30" hidden="false" customHeight="true" outlineLevel="0" collapsed="false">
      <c r="A29" s="10" t="n">
        <v>4</v>
      </c>
      <c r="B29" s="11" t="s">
        <v>32</v>
      </c>
      <c r="C29" s="12" t="s">
        <v>37</v>
      </c>
      <c r="D29" s="13" t="s">
        <v>38</v>
      </c>
      <c r="E29" s="13" t="s">
        <v>12</v>
      </c>
      <c r="F29" s="12"/>
    </row>
    <row r="30" customFormat="false" ht="30" hidden="false" customHeight="true" outlineLevel="0" collapsed="false">
      <c r="A30" s="10" t="n">
        <v>4</v>
      </c>
      <c r="B30" s="11" t="s">
        <v>32</v>
      </c>
      <c r="C30" s="12" t="s">
        <v>39</v>
      </c>
      <c r="D30" s="13" t="s">
        <v>11</v>
      </c>
      <c r="E30" s="13" t="s">
        <v>12</v>
      </c>
      <c r="F30" s="12"/>
    </row>
    <row r="31" customFormat="false" ht="30" hidden="false" customHeight="true" outlineLevel="0" collapsed="false">
      <c r="A31" s="6" t="n">
        <v>5</v>
      </c>
      <c r="B31" s="7" t="s">
        <v>40</v>
      </c>
      <c r="C31" s="8" t="s">
        <v>41</v>
      </c>
      <c r="D31" s="9" t="s">
        <v>11</v>
      </c>
      <c r="E31" s="9" t="s">
        <v>12</v>
      </c>
      <c r="F31" s="8"/>
    </row>
    <row r="32" customFormat="false" ht="30" hidden="false" customHeight="true" outlineLevel="0" collapsed="false">
      <c r="A32" s="6" t="n">
        <v>5</v>
      </c>
      <c r="B32" s="7" t="s">
        <v>40</v>
      </c>
      <c r="C32" s="8" t="s">
        <v>42</v>
      </c>
      <c r="D32" s="9" t="s">
        <v>11</v>
      </c>
      <c r="E32" s="9" t="s">
        <v>12</v>
      </c>
      <c r="F32" s="8"/>
    </row>
    <row r="33" customFormat="false" ht="30" hidden="false" customHeight="true" outlineLevel="0" collapsed="false">
      <c r="A33" s="6" t="n">
        <v>5</v>
      </c>
      <c r="B33" s="7" t="s">
        <v>40</v>
      </c>
      <c r="C33" s="8" t="s">
        <v>43</v>
      </c>
      <c r="D33" s="9" t="s">
        <v>14</v>
      </c>
      <c r="E33" s="9" t="s">
        <v>12</v>
      </c>
      <c r="F33" s="8"/>
    </row>
    <row r="34" customFormat="false" ht="30" hidden="false" customHeight="true" outlineLevel="0" collapsed="false">
      <c r="A34" s="6" t="n">
        <v>5</v>
      </c>
      <c r="B34" s="7" t="s">
        <v>40</v>
      </c>
      <c r="C34" s="8" t="s">
        <v>44</v>
      </c>
      <c r="D34" s="9" t="s">
        <v>11</v>
      </c>
      <c r="E34" s="9" t="s">
        <v>12</v>
      </c>
      <c r="F34" s="8"/>
    </row>
    <row r="35" customFormat="false" ht="30" hidden="false" customHeight="true" outlineLevel="0" collapsed="false">
      <c r="A35" s="6" t="n">
        <v>5</v>
      </c>
      <c r="B35" s="7" t="s">
        <v>40</v>
      </c>
      <c r="C35" s="8" t="s">
        <v>45</v>
      </c>
      <c r="D35" s="9" t="s">
        <v>11</v>
      </c>
      <c r="E35" s="9" t="s">
        <v>12</v>
      </c>
      <c r="F35" s="8"/>
    </row>
    <row r="36" customFormat="false" ht="30" hidden="false" customHeight="true" outlineLevel="0" collapsed="false">
      <c r="A36" s="6" t="n">
        <v>5</v>
      </c>
      <c r="B36" s="7" t="s">
        <v>40</v>
      </c>
      <c r="C36" s="8" t="s">
        <v>46</v>
      </c>
      <c r="D36" s="9" t="s">
        <v>11</v>
      </c>
      <c r="E36" s="9" t="s">
        <v>12</v>
      </c>
      <c r="F36" s="8"/>
    </row>
    <row r="37" customFormat="false" ht="30" hidden="false" customHeight="true" outlineLevel="0" collapsed="false">
      <c r="A37" s="10" t="n">
        <v>6</v>
      </c>
      <c r="B37" s="11" t="s">
        <v>47</v>
      </c>
      <c r="C37" s="12" t="s">
        <v>48</v>
      </c>
      <c r="D37" s="13" t="s">
        <v>14</v>
      </c>
      <c r="E37" s="13" t="s">
        <v>12</v>
      </c>
      <c r="F37" s="12"/>
    </row>
    <row r="38" customFormat="false" ht="30" hidden="false" customHeight="true" outlineLevel="0" collapsed="false">
      <c r="A38" s="10" t="n">
        <v>6</v>
      </c>
      <c r="B38" s="11" t="s">
        <v>47</v>
      </c>
      <c r="C38" s="12" t="s">
        <v>49</v>
      </c>
      <c r="D38" s="13" t="s">
        <v>14</v>
      </c>
      <c r="E38" s="13" t="s">
        <v>12</v>
      </c>
      <c r="F38" s="12"/>
    </row>
    <row r="39" customFormat="false" ht="30" hidden="false" customHeight="true" outlineLevel="0" collapsed="false">
      <c r="A39" s="10" t="n">
        <v>6</v>
      </c>
      <c r="B39" s="11" t="s">
        <v>47</v>
      </c>
      <c r="C39" s="12" t="s">
        <v>50</v>
      </c>
      <c r="D39" s="13" t="s">
        <v>11</v>
      </c>
      <c r="E39" s="13" t="s">
        <v>12</v>
      </c>
      <c r="F39" s="12"/>
    </row>
    <row r="40" customFormat="false" ht="30" hidden="false" customHeight="true" outlineLevel="0" collapsed="false">
      <c r="A40" s="10" t="n">
        <v>6</v>
      </c>
      <c r="B40" s="11" t="s">
        <v>47</v>
      </c>
      <c r="C40" s="12" t="s">
        <v>51</v>
      </c>
      <c r="D40" s="13" t="s">
        <v>11</v>
      </c>
      <c r="E40" s="13" t="s">
        <v>12</v>
      </c>
      <c r="F40" s="12"/>
    </row>
    <row r="41" customFormat="false" ht="30" hidden="false" customHeight="true" outlineLevel="0" collapsed="false">
      <c r="A41" s="10" t="n">
        <v>6</v>
      </c>
      <c r="B41" s="11" t="s">
        <v>47</v>
      </c>
      <c r="C41" s="12" t="s">
        <v>52</v>
      </c>
      <c r="D41" s="13" t="s">
        <v>38</v>
      </c>
      <c r="E41" s="13" t="s">
        <v>12</v>
      </c>
      <c r="F41" s="12"/>
    </row>
    <row r="42" customFormat="false" ht="30" hidden="false" customHeight="true" outlineLevel="0" collapsed="false">
      <c r="A42" s="10" t="n">
        <v>6</v>
      </c>
      <c r="B42" s="11" t="s">
        <v>47</v>
      </c>
      <c r="C42" s="12" t="s">
        <v>53</v>
      </c>
      <c r="D42" s="13" t="s">
        <v>11</v>
      </c>
      <c r="E42" s="13" t="s">
        <v>12</v>
      </c>
      <c r="F42" s="12"/>
    </row>
    <row r="43" customFormat="false" ht="30" hidden="false" customHeight="true" outlineLevel="0" collapsed="false">
      <c r="A43" s="10" t="n">
        <v>6</v>
      </c>
      <c r="B43" s="11" t="s">
        <v>47</v>
      </c>
      <c r="C43" s="12" t="s">
        <v>54</v>
      </c>
      <c r="D43" s="13" t="s">
        <v>11</v>
      </c>
      <c r="E43" s="13" t="s">
        <v>12</v>
      </c>
      <c r="F43" s="12"/>
    </row>
    <row r="44" customFormat="false" ht="30" hidden="false" customHeight="true" outlineLevel="0" collapsed="false">
      <c r="A44" s="6" t="n">
        <v>7</v>
      </c>
      <c r="B44" s="7" t="s">
        <v>55</v>
      </c>
      <c r="C44" s="8" t="s">
        <v>56</v>
      </c>
      <c r="D44" s="9" t="s">
        <v>14</v>
      </c>
      <c r="E44" s="9" t="s">
        <v>12</v>
      </c>
      <c r="F44" s="8"/>
    </row>
    <row r="45" customFormat="false" ht="30" hidden="false" customHeight="true" outlineLevel="0" collapsed="false">
      <c r="A45" s="6" t="n">
        <v>7</v>
      </c>
      <c r="B45" s="7" t="s">
        <v>55</v>
      </c>
      <c r="C45" s="8" t="s">
        <v>57</v>
      </c>
      <c r="D45" s="9" t="s">
        <v>11</v>
      </c>
      <c r="E45" s="9" t="s">
        <v>12</v>
      </c>
      <c r="F45" s="8"/>
    </row>
    <row r="46" customFormat="false" ht="30" hidden="false" customHeight="true" outlineLevel="0" collapsed="false">
      <c r="A46" s="6" t="n">
        <v>7</v>
      </c>
      <c r="B46" s="7" t="s">
        <v>55</v>
      </c>
      <c r="C46" s="8" t="s">
        <v>58</v>
      </c>
      <c r="D46" s="9" t="s">
        <v>11</v>
      </c>
      <c r="E46" s="9" t="s">
        <v>12</v>
      </c>
      <c r="F46" s="8"/>
    </row>
    <row r="47" customFormat="false" ht="30" hidden="false" customHeight="true" outlineLevel="0" collapsed="false">
      <c r="A47" s="6" t="n">
        <v>7</v>
      </c>
      <c r="B47" s="7" t="s">
        <v>55</v>
      </c>
      <c r="C47" s="8" t="s">
        <v>59</v>
      </c>
      <c r="D47" s="9" t="s">
        <v>11</v>
      </c>
      <c r="E47" s="9" t="s">
        <v>12</v>
      </c>
      <c r="F47" s="8"/>
    </row>
    <row r="48" customFormat="false" ht="30" hidden="false" customHeight="true" outlineLevel="0" collapsed="false">
      <c r="A48" s="6" t="n">
        <v>7</v>
      </c>
      <c r="B48" s="7" t="s">
        <v>55</v>
      </c>
      <c r="C48" s="8" t="s">
        <v>60</v>
      </c>
      <c r="D48" s="9" t="s">
        <v>14</v>
      </c>
      <c r="E48" s="9" t="s">
        <v>12</v>
      </c>
      <c r="F48" s="8"/>
    </row>
    <row r="49" customFormat="false" ht="30" hidden="false" customHeight="true" outlineLevel="0" collapsed="false">
      <c r="A49" s="6" t="n">
        <v>7</v>
      </c>
      <c r="B49" s="7" t="s">
        <v>55</v>
      </c>
      <c r="C49" s="8" t="s">
        <v>61</v>
      </c>
      <c r="D49" s="9" t="s">
        <v>11</v>
      </c>
      <c r="E49" s="9" t="s">
        <v>12</v>
      </c>
      <c r="F49" s="8"/>
    </row>
    <row r="50" customFormat="false" ht="30" hidden="false" customHeight="true" outlineLevel="0" collapsed="false">
      <c r="A50" s="6" t="n">
        <v>7</v>
      </c>
      <c r="B50" s="7" t="s">
        <v>55</v>
      </c>
      <c r="C50" s="8" t="s">
        <v>62</v>
      </c>
      <c r="D50" s="9" t="s">
        <v>11</v>
      </c>
      <c r="E50" s="9" t="s">
        <v>12</v>
      </c>
      <c r="F50" s="8"/>
    </row>
    <row r="51" customFormat="false" ht="30" hidden="false" customHeight="true" outlineLevel="0" collapsed="false">
      <c r="A51" s="10" t="n">
        <v>8</v>
      </c>
      <c r="B51" s="11" t="s">
        <v>63</v>
      </c>
      <c r="C51" s="12" t="s">
        <v>64</v>
      </c>
      <c r="D51" s="13" t="s">
        <v>11</v>
      </c>
      <c r="E51" s="13" t="s">
        <v>12</v>
      </c>
      <c r="F51" s="12"/>
    </row>
    <row r="52" customFormat="false" ht="30" hidden="false" customHeight="true" outlineLevel="0" collapsed="false">
      <c r="A52" s="10" t="n">
        <v>8</v>
      </c>
      <c r="B52" s="11" t="s">
        <v>63</v>
      </c>
      <c r="C52" s="12" t="s">
        <v>65</v>
      </c>
      <c r="D52" s="13" t="s">
        <v>11</v>
      </c>
      <c r="E52" s="13" t="s">
        <v>12</v>
      </c>
      <c r="F52" s="12"/>
    </row>
    <row r="53" customFormat="false" ht="30" hidden="false" customHeight="true" outlineLevel="0" collapsed="false">
      <c r="A53" s="10" t="n">
        <v>8</v>
      </c>
      <c r="B53" s="11" t="s">
        <v>63</v>
      </c>
      <c r="C53" s="12" t="s">
        <v>66</v>
      </c>
      <c r="D53" s="13" t="s">
        <v>38</v>
      </c>
      <c r="E53" s="13" t="s">
        <v>12</v>
      </c>
      <c r="F53" s="12"/>
    </row>
    <row r="54" customFormat="false" ht="30" hidden="false" customHeight="true" outlineLevel="0" collapsed="false">
      <c r="A54" s="10" t="n">
        <v>8</v>
      </c>
      <c r="B54" s="11" t="s">
        <v>63</v>
      </c>
      <c r="C54" s="12" t="s">
        <v>67</v>
      </c>
      <c r="D54" s="13" t="s">
        <v>14</v>
      </c>
      <c r="E54" s="13" t="s">
        <v>12</v>
      </c>
      <c r="F54" s="12"/>
    </row>
    <row r="55" customFormat="false" ht="30" hidden="false" customHeight="true" outlineLevel="0" collapsed="false">
      <c r="A55" s="10" t="n">
        <v>8</v>
      </c>
      <c r="B55" s="11" t="s">
        <v>63</v>
      </c>
      <c r="C55" s="12" t="s">
        <v>68</v>
      </c>
      <c r="D55" s="13" t="s">
        <v>14</v>
      </c>
      <c r="E55" s="13" t="s">
        <v>12</v>
      </c>
      <c r="F55" s="12"/>
    </row>
    <row r="56" customFormat="false" ht="30" hidden="false" customHeight="true" outlineLevel="0" collapsed="false">
      <c r="A56" s="10" t="n">
        <v>8</v>
      </c>
      <c r="B56" s="11" t="s">
        <v>63</v>
      </c>
      <c r="C56" s="12" t="s">
        <v>69</v>
      </c>
      <c r="D56" s="13" t="s">
        <v>11</v>
      </c>
      <c r="E56" s="13" t="s">
        <v>12</v>
      </c>
      <c r="F56" s="12"/>
    </row>
    <row r="57" customFormat="false" ht="30" hidden="false" customHeight="true" outlineLevel="0" collapsed="false">
      <c r="A57" s="6" t="n">
        <v>9</v>
      </c>
      <c r="B57" s="7" t="s">
        <v>70</v>
      </c>
      <c r="C57" s="8" t="s">
        <v>71</v>
      </c>
      <c r="D57" s="9" t="s">
        <v>14</v>
      </c>
      <c r="E57" s="9" t="s">
        <v>12</v>
      </c>
      <c r="F57" s="8"/>
    </row>
    <row r="58" customFormat="false" ht="30" hidden="false" customHeight="true" outlineLevel="0" collapsed="false">
      <c r="A58" s="6" t="n">
        <v>9</v>
      </c>
      <c r="B58" s="7" t="s">
        <v>70</v>
      </c>
      <c r="C58" s="8" t="s">
        <v>72</v>
      </c>
      <c r="D58" s="9" t="s">
        <v>14</v>
      </c>
      <c r="E58" s="9" t="s">
        <v>12</v>
      </c>
      <c r="F58" s="8"/>
    </row>
    <row r="59" customFormat="false" ht="30" hidden="false" customHeight="true" outlineLevel="0" collapsed="false">
      <c r="A59" s="6" t="n">
        <v>9</v>
      </c>
      <c r="B59" s="7" t="s">
        <v>70</v>
      </c>
      <c r="C59" s="8" t="s">
        <v>73</v>
      </c>
      <c r="D59" s="9" t="s">
        <v>14</v>
      </c>
      <c r="E59" s="9" t="s">
        <v>12</v>
      </c>
      <c r="F59" s="8"/>
    </row>
    <row r="60" customFormat="false" ht="30" hidden="false" customHeight="true" outlineLevel="0" collapsed="false">
      <c r="A60" s="6" t="n">
        <v>9</v>
      </c>
      <c r="B60" s="7" t="s">
        <v>70</v>
      </c>
      <c r="C60" s="8" t="s">
        <v>74</v>
      </c>
      <c r="D60" s="9" t="s">
        <v>14</v>
      </c>
      <c r="E60" s="9" t="s">
        <v>12</v>
      </c>
      <c r="F60" s="8"/>
    </row>
    <row r="61" customFormat="false" ht="30" hidden="false" customHeight="true" outlineLevel="0" collapsed="false">
      <c r="A61" s="6" t="n">
        <v>9</v>
      </c>
      <c r="B61" s="7" t="s">
        <v>70</v>
      </c>
      <c r="C61" s="8" t="s">
        <v>75</v>
      </c>
      <c r="D61" s="9" t="s">
        <v>14</v>
      </c>
      <c r="E61" s="9" t="s">
        <v>12</v>
      </c>
      <c r="F61" s="8"/>
    </row>
    <row r="62" customFormat="false" ht="30" hidden="false" customHeight="true" outlineLevel="0" collapsed="false">
      <c r="A62" s="6" t="n">
        <v>9</v>
      </c>
      <c r="B62" s="7" t="s">
        <v>70</v>
      </c>
      <c r="C62" s="8" t="s">
        <v>76</v>
      </c>
      <c r="D62" s="9" t="s">
        <v>14</v>
      </c>
      <c r="E62" s="9" t="s">
        <v>12</v>
      </c>
      <c r="F62" s="8"/>
    </row>
    <row r="63" customFormat="false" ht="30" hidden="false" customHeight="true" outlineLevel="0" collapsed="false">
      <c r="A63" s="6" t="n">
        <v>9</v>
      </c>
      <c r="B63" s="7" t="s">
        <v>70</v>
      </c>
      <c r="C63" s="8" t="s">
        <v>77</v>
      </c>
      <c r="D63" s="9" t="s">
        <v>11</v>
      </c>
      <c r="E63" s="9" t="s">
        <v>12</v>
      </c>
      <c r="F63" s="8"/>
    </row>
    <row r="64" customFormat="false" ht="30" hidden="false" customHeight="true" outlineLevel="0" collapsed="false">
      <c r="A64" s="10" t="n">
        <v>10</v>
      </c>
      <c r="B64" s="11" t="s">
        <v>78</v>
      </c>
      <c r="C64" s="12" t="s">
        <v>79</v>
      </c>
      <c r="D64" s="13" t="s">
        <v>14</v>
      </c>
      <c r="E64" s="13" t="s">
        <v>12</v>
      </c>
      <c r="F64" s="12"/>
    </row>
    <row r="65" customFormat="false" ht="30" hidden="false" customHeight="true" outlineLevel="0" collapsed="false">
      <c r="A65" s="10" t="n">
        <v>10</v>
      </c>
      <c r="B65" s="11" t="s">
        <v>78</v>
      </c>
      <c r="C65" s="12" t="s">
        <v>80</v>
      </c>
      <c r="D65" s="13" t="s">
        <v>11</v>
      </c>
      <c r="E65" s="13" t="s">
        <v>12</v>
      </c>
      <c r="F65" s="12"/>
    </row>
    <row r="66" customFormat="false" ht="30" hidden="false" customHeight="true" outlineLevel="0" collapsed="false">
      <c r="A66" s="10" t="n">
        <v>10</v>
      </c>
      <c r="B66" s="11" t="s">
        <v>78</v>
      </c>
      <c r="C66" s="12" t="s">
        <v>81</v>
      </c>
      <c r="D66" s="13" t="s">
        <v>11</v>
      </c>
      <c r="E66" s="13" t="s">
        <v>12</v>
      </c>
      <c r="F66" s="12"/>
    </row>
    <row r="67" customFormat="false" ht="30" hidden="false" customHeight="true" outlineLevel="0" collapsed="false">
      <c r="A67" s="10" t="n">
        <v>10</v>
      </c>
      <c r="B67" s="11" t="s">
        <v>78</v>
      </c>
      <c r="C67" s="12" t="s">
        <v>82</v>
      </c>
      <c r="D67" s="13" t="s">
        <v>14</v>
      </c>
      <c r="E67" s="13" t="s">
        <v>12</v>
      </c>
      <c r="F67" s="12"/>
    </row>
    <row r="68" customFormat="false" ht="30" hidden="false" customHeight="true" outlineLevel="0" collapsed="false">
      <c r="A68" s="10" t="n">
        <v>10</v>
      </c>
      <c r="B68" s="11" t="s">
        <v>78</v>
      </c>
      <c r="C68" s="12" t="s">
        <v>83</v>
      </c>
      <c r="D68" s="13" t="s">
        <v>11</v>
      </c>
      <c r="E68" s="13" t="s">
        <v>12</v>
      </c>
      <c r="F68" s="12"/>
    </row>
    <row r="69" customFormat="false" ht="30" hidden="false" customHeight="true" outlineLevel="0" collapsed="false">
      <c r="A69" s="10" t="n">
        <v>10</v>
      </c>
      <c r="B69" s="11" t="s">
        <v>78</v>
      </c>
      <c r="C69" s="12" t="s">
        <v>84</v>
      </c>
      <c r="D69" s="13" t="s">
        <v>14</v>
      </c>
      <c r="E69" s="13" t="s">
        <v>12</v>
      </c>
      <c r="F69" s="12"/>
    </row>
  </sheetData>
  <autoFilter ref="A7:F69"/>
  <mergeCells count="4">
    <mergeCell ref="A1:F1"/>
    <mergeCell ref="A2:F2"/>
    <mergeCell ref="A4:B4"/>
    <mergeCell ref="C4:F4"/>
  </mergeCells>
  <conditionalFormatting sqref="E8:E69">
    <cfRule type="expression" priority="2" aboveAverage="0" equalAverage="0" bottom="0" percent="0" rank="0" text="" dxfId="6">
      <formula>E8="Done"</formula>
    </cfRule>
    <cfRule type="expression" priority="3" aboveAverage="0" equalAverage="0" bottom="0" percent="0" rank="0" text="" dxfId="7">
      <formula>E8="In Progress"</formula>
    </cfRule>
    <cfRule type="expression" priority="4" aboveAverage="0" equalAverage="0" bottom="0" percent="0" rank="0" text="" dxfId="8">
      <formula>OR(E8="Not Started",E8="Blocked")</formula>
    </cfRule>
  </conditionalFormatting>
  <dataValidations count="2">
    <dataValidation allowBlank="false" errorStyle="stop" operator="between" showDropDown="false" showErrorMessage="false" showInputMessage="false" sqref="D8:D69" type="list">
      <formula1>"High,Medium,Low"</formula1>
      <formula2>0</formula2>
    </dataValidation>
    <dataValidation allowBlank="false" errorStyle="stop" operator="between" showDropDown="false" showErrorMessage="false" showInputMessage="false" sqref="E8:E69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4" t="s">
        <v>85</v>
      </c>
      <c r="B1" s="14"/>
      <c r="C1" s="14"/>
      <c r="D1" s="14"/>
    </row>
    <row r="3" customFormat="false" ht="15" hidden="false" customHeight="false" outlineLevel="0" collapsed="false">
      <c r="A3" s="15" t="s">
        <v>3</v>
      </c>
      <c r="B3" s="15" t="s">
        <v>86</v>
      </c>
      <c r="C3" s="15" t="s">
        <v>87</v>
      </c>
      <c r="D3" s="15" t="s">
        <v>88</v>
      </c>
    </row>
    <row r="4" customFormat="false" ht="15" hidden="false" customHeight="false" outlineLevel="0" collapsed="false">
      <c r="A4" s="16" t="n">
        <v>1</v>
      </c>
      <c r="B4" s="16" t="n">
        <f aca="false">COUNTIF('To-Do List'!A8:A69,A4)</f>
        <v>6</v>
      </c>
      <c r="C4" s="16" t="n">
        <f aca="false">COUNTIFS('To-Do List'!A8:A69,A4,'To-Do List'!E8:E69,"Done")</f>
        <v>0</v>
      </c>
      <c r="D4" s="17" t="n">
        <f aca="false">IF(B4=0,0,C4/B4)</f>
        <v>0</v>
      </c>
    </row>
    <row r="5" customFormat="false" ht="15" hidden="false" customHeight="false" outlineLevel="0" collapsed="false">
      <c r="A5" s="18" t="n">
        <v>2</v>
      </c>
      <c r="B5" s="18" t="n">
        <f aca="false">COUNTIF('To-Do List'!A8:A69,A5)</f>
        <v>5</v>
      </c>
      <c r="C5" s="18" t="n">
        <f aca="false">COUNTIFS('To-Do List'!A8:A69,A5,'To-Do List'!E8:E69,"Done")</f>
        <v>0</v>
      </c>
      <c r="D5" s="19" t="n">
        <f aca="false">IF(B5=0,0,C5/B5)</f>
        <v>0</v>
      </c>
    </row>
    <row r="6" customFormat="false" ht="15" hidden="false" customHeight="false" outlineLevel="0" collapsed="false">
      <c r="A6" s="16" t="n">
        <v>3</v>
      </c>
      <c r="B6" s="16" t="n">
        <f aca="false">COUNTIF('To-Do List'!A8:A69,A6)</f>
        <v>6</v>
      </c>
      <c r="C6" s="16" t="n">
        <f aca="false">COUNTIFS('To-Do List'!A8:A69,A6,'To-Do List'!E8:E69,"Done")</f>
        <v>0</v>
      </c>
      <c r="D6" s="17" t="n">
        <f aca="false">IF(B6=0,0,C6/B6)</f>
        <v>0</v>
      </c>
    </row>
    <row r="7" customFormat="false" ht="15" hidden="false" customHeight="false" outlineLevel="0" collapsed="false">
      <c r="A7" s="18" t="n">
        <v>4</v>
      </c>
      <c r="B7" s="18" t="n">
        <f aca="false">COUNTIF('To-Do List'!A8:A69,A7)</f>
        <v>6</v>
      </c>
      <c r="C7" s="18" t="n">
        <f aca="false">COUNTIFS('To-Do List'!A8:A69,A7,'To-Do List'!E8:E69,"Done")</f>
        <v>0</v>
      </c>
      <c r="D7" s="19" t="n">
        <f aca="false">IF(B7=0,0,C7/B7)</f>
        <v>0</v>
      </c>
    </row>
    <row r="8" customFormat="false" ht="15" hidden="false" customHeight="false" outlineLevel="0" collapsed="false">
      <c r="A8" s="16" t="n">
        <v>5</v>
      </c>
      <c r="B8" s="16" t="n">
        <f aca="false">COUNTIF('To-Do List'!A8:A69,A8)</f>
        <v>6</v>
      </c>
      <c r="C8" s="16" t="n">
        <f aca="false">COUNTIFS('To-Do List'!A8:A69,A8,'To-Do List'!E8:E69,"Done")</f>
        <v>0</v>
      </c>
      <c r="D8" s="17" t="n">
        <f aca="false">IF(B8=0,0,C8/B8)</f>
        <v>0</v>
      </c>
    </row>
    <row r="9" customFormat="false" ht="15" hidden="false" customHeight="false" outlineLevel="0" collapsed="false">
      <c r="A9" s="18" t="n">
        <v>6</v>
      </c>
      <c r="B9" s="18" t="n">
        <f aca="false">COUNTIF('To-Do List'!A8:A69,A9)</f>
        <v>7</v>
      </c>
      <c r="C9" s="18" t="n">
        <f aca="false">COUNTIFS('To-Do List'!A8:A69,A9,'To-Do List'!E8:E69,"Done")</f>
        <v>0</v>
      </c>
      <c r="D9" s="19" t="n">
        <f aca="false">IF(B9=0,0,C9/B9)</f>
        <v>0</v>
      </c>
    </row>
    <row r="10" customFormat="false" ht="15" hidden="false" customHeight="false" outlineLevel="0" collapsed="false">
      <c r="A10" s="16" t="n">
        <v>7</v>
      </c>
      <c r="B10" s="16" t="n">
        <f aca="false">COUNTIF('To-Do List'!A8:A69,A10)</f>
        <v>7</v>
      </c>
      <c r="C10" s="16" t="n">
        <f aca="false">COUNTIFS('To-Do List'!A8:A69,A10,'To-Do List'!E8:E69,"Done")</f>
        <v>0</v>
      </c>
      <c r="D10" s="17" t="n">
        <f aca="false">IF(B10=0,0,C10/B10)</f>
        <v>0</v>
      </c>
    </row>
    <row r="11" customFormat="false" ht="15" hidden="false" customHeight="false" outlineLevel="0" collapsed="false">
      <c r="A11" s="18" t="n">
        <v>8</v>
      </c>
      <c r="B11" s="18" t="n">
        <f aca="false">COUNTIF('To-Do List'!A8:A69,A11)</f>
        <v>6</v>
      </c>
      <c r="C11" s="18" t="n">
        <f aca="false">COUNTIFS('To-Do List'!A8:A69,A11,'To-Do List'!E8:E69,"Done")</f>
        <v>0</v>
      </c>
      <c r="D11" s="19" t="n">
        <f aca="false">IF(B11=0,0,C11/B11)</f>
        <v>0</v>
      </c>
    </row>
    <row r="12" customFormat="false" ht="15" hidden="false" customHeight="false" outlineLevel="0" collapsed="false">
      <c r="A12" s="16" t="n">
        <v>9</v>
      </c>
      <c r="B12" s="16" t="n">
        <f aca="false">COUNTIF('To-Do List'!A8:A69,A12)</f>
        <v>7</v>
      </c>
      <c r="C12" s="16" t="n">
        <f aca="false">COUNTIFS('To-Do List'!A8:A69,A12,'To-Do List'!E8:E69,"Done")</f>
        <v>0</v>
      </c>
      <c r="D12" s="17" t="n">
        <f aca="false">IF(B12=0,0,C12/B12)</f>
        <v>0</v>
      </c>
    </row>
    <row r="13" customFormat="false" ht="15" hidden="false" customHeight="false" outlineLevel="0" collapsed="false">
      <c r="A13" s="18" t="n">
        <v>10</v>
      </c>
      <c r="B13" s="18" t="n">
        <f aca="false">COUNTIF('To-Do List'!A8:A69,A13)</f>
        <v>6</v>
      </c>
      <c r="C13" s="18" t="n">
        <f aca="false">COUNTIFS('To-Do List'!A8:A69,A13,'To-Do List'!E8:E69,"Done")</f>
        <v>0</v>
      </c>
      <c r="D13" s="19" t="n">
        <f aca="false">IF(B13=0,0,C13/B13)</f>
        <v>0</v>
      </c>
    </row>
    <row r="14" customFormat="false" ht="15" hidden="false" customHeight="false" outlineLevel="0" collapsed="false">
      <c r="A14" s="20" t="s">
        <v>89</v>
      </c>
      <c r="B14" s="21" t="n">
        <f aca="false">SUM(B4:B13)</f>
        <v>62</v>
      </c>
      <c r="C14" s="21" t="n">
        <f aca="false">SUM(C4:C13)</f>
        <v>0</v>
      </c>
      <c r="D14" s="22" t="n">
        <f aca="false">IF(B14=0,0,C14/B14)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2026-08-08T07:19:53Z</dcterms:created>
  <dc:creator>openpyxl</dc:creator>
  <dc:description/>
  <dc:language>en-US</dc:language>
  <cp:lastModifiedBy/>
  <dcterms:modified xsi:type="dcterms:W3CDTF">2026-08-08T07:19:53Z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